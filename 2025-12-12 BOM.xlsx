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 Böhm\Documents\Neobotics\"/>
    </mc:Choice>
  </mc:AlternateContent>
  <xr:revisionPtr revIDLastSave="0" documentId="13_ncr:1_{252A1075-9986-43A8-B9B0-54892CF1087C}" xr6:coauthVersionLast="47" xr6:coauthVersionMax="47" xr10:uidLastSave="{00000000-0000-0000-0000-000000000000}"/>
  <bookViews>
    <workbookView xWindow="25695" yWindow="0" windowWidth="26010" windowHeight="20985" xr2:uid="{7995BD43-5148-47BB-80E2-07484E8B28AF}"/>
  </bookViews>
  <sheets>
    <sheet name="Tabelle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2" l="1"/>
  <c r="H33" i="2" s="1"/>
  <c r="I33" i="2"/>
  <c r="G32" i="2"/>
  <c r="H32" i="2" s="1"/>
  <c r="I32" i="2"/>
  <c r="G31" i="2"/>
  <c r="H31" i="2" s="1"/>
  <c r="I31" i="2"/>
  <c r="G30" i="2"/>
  <c r="H30" i="2" s="1"/>
  <c r="I30" i="2"/>
  <c r="G22" i="2"/>
  <c r="H22" i="2" s="1"/>
  <c r="I22" i="2"/>
  <c r="G21" i="2"/>
  <c r="H21" i="2"/>
  <c r="I21" i="2"/>
  <c r="G16" i="2"/>
  <c r="H16" i="2" s="1"/>
  <c r="I16" i="2"/>
  <c r="G17" i="2"/>
  <c r="H17" i="2" s="1"/>
  <c r="I17" i="2"/>
  <c r="G18" i="2"/>
  <c r="H18" i="2"/>
  <c r="I18" i="2"/>
  <c r="G19" i="2"/>
  <c r="H19" i="2"/>
  <c r="I19" i="2"/>
  <c r="G20" i="2"/>
  <c r="H20" i="2" s="1"/>
  <c r="I20" i="2"/>
  <c r="G23" i="2"/>
  <c r="H23" i="2" s="1"/>
  <c r="I23" i="2"/>
  <c r="G24" i="2"/>
  <c r="H24" i="2" s="1"/>
  <c r="I24" i="2"/>
  <c r="G25" i="2"/>
  <c r="H25" i="2" s="1"/>
  <c r="I25" i="2"/>
  <c r="G26" i="2"/>
  <c r="H26" i="2" s="1"/>
  <c r="I26" i="2"/>
  <c r="G27" i="2"/>
  <c r="H27" i="2" s="1"/>
  <c r="I27" i="2"/>
  <c r="G28" i="2"/>
  <c r="H28" i="2" s="1"/>
  <c r="I28" i="2"/>
  <c r="G29" i="2"/>
  <c r="H29" i="2" s="1"/>
  <c r="I29" i="2"/>
  <c r="G15" i="2"/>
  <c r="H15" i="2" s="1"/>
  <c r="I15" i="2"/>
  <c r="G14" i="2"/>
  <c r="H14" i="2"/>
  <c r="I14" i="2"/>
  <c r="G13" i="2"/>
  <c r="H13" i="2"/>
  <c r="I13" i="2"/>
  <c r="G12" i="2"/>
  <c r="H12" i="2" s="1"/>
  <c r="I12" i="2"/>
  <c r="G11" i="2"/>
  <c r="H11" i="2" s="1"/>
  <c r="I11" i="2"/>
  <c r="G10" i="2"/>
  <c r="H10" i="2"/>
  <c r="I10" i="2"/>
  <c r="G9" i="2"/>
  <c r="H9" i="2" s="1"/>
  <c r="I9" i="2"/>
  <c r="G8" i="2"/>
  <c r="H8" i="2" s="1"/>
  <c r="I8" i="2"/>
  <c r="G7" i="2"/>
  <c r="H7" i="2" s="1"/>
  <c r="I7" i="2"/>
  <c r="I6" i="2"/>
  <c r="G6" i="2"/>
  <c r="H6" i="2" s="1"/>
  <c r="I5" i="2"/>
  <c r="G5" i="2"/>
  <c r="H5" i="2" s="1"/>
  <c r="I4" i="2"/>
  <c r="G4" i="2"/>
  <c r="H4" i="2" s="1"/>
  <c r="I3" i="2"/>
  <c r="G3" i="2"/>
  <c r="H3" i="2" s="1"/>
  <c r="I2" i="2"/>
  <c r="G2" i="2"/>
  <c r="H2" i="2" s="1"/>
  <c r="H38" i="2" l="1"/>
  <c r="I38" i="2"/>
</calcChain>
</file>

<file path=xl/sharedStrings.xml><?xml version="1.0" encoding="utf-8"?>
<sst xmlns="http://schemas.openxmlformats.org/spreadsheetml/2006/main" count="109" uniqueCount="81">
  <si>
    <t>Component</t>
  </si>
  <si>
    <t>Description</t>
  </si>
  <si>
    <t>Costs per piece</t>
  </si>
  <si>
    <t>Total cost</t>
  </si>
  <si>
    <t>Link</t>
  </si>
  <si>
    <t>Motor</t>
  </si>
  <si>
    <t>Servo</t>
  </si>
  <si>
    <t>Costs per unit</t>
  </si>
  <si>
    <t>Scaled price</t>
  </si>
  <si>
    <t>Amount needed</t>
  </si>
  <si>
    <t>Pieces per unit</t>
  </si>
  <si>
    <t>Required units</t>
  </si>
  <si>
    <t>Filament</t>
  </si>
  <si>
    <t>https://www.prusa3d.com/product/prusament-petg-jet-black-1kg/</t>
  </si>
  <si>
    <t>M3x8</t>
  </si>
  <si>
    <t>M3</t>
  </si>
  <si>
    <t>M3x10</t>
  </si>
  <si>
    <t>M3x12</t>
  </si>
  <si>
    <t>M3x16</t>
  </si>
  <si>
    <t>M3x30</t>
  </si>
  <si>
    <t>Total costs</t>
  </si>
  <si>
    <t>Scaled</t>
  </si>
  <si>
    <t>Prototype</t>
  </si>
  <si>
    <t>M3x35</t>
  </si>
  <si>
    <t>775 brushed DC</t>
  </si>
  <si>
    <t>https://www.amazon.de/gp/product/B07BGWMYYM/</t>
  </si>
  <si>
    <t>INJORA INJS025 90° 35kg Servo</t>
  </si>
  <si>
    <t>Servo saver</t>
  </si>
  <si>
    <t>Tamiya high torque servo saver TAM51000</t>
  </si>
  <si>
    <t>https://www.amazon.de/TAMIYA-300051000-Hi-Torque-Servo-schwarz/dp/B00061H9X4/</t>
  </si>
  <si>
    <t>https://www.amazon.de/INJORA-Servo-Digital-Metallzahnrad-Zubehör/dp/B08CSJKSM4/</t>
  </si>
  <si>
    <t>Elastomer clutch</t>
  </si>
  <si>
    <t>D20L30 5/5</t>
  </si>
  <si>
    <t>https://www.motedis.com/en/Backlash-free-elostomer-clutch-D20L30-5-5</t>
  </si>
  <si>
    <t>Wheels</t>
  </si>
  <si>
    <t>KINGCOO 75mm 12mm hexnut</t>
  </si>
  <si>
    <t>https://www.amazon.de/KINGCOO-Gummireifen-Kunststoff-Speichen-Schwarz/dp/B0CXT1QLLB/</t>
  </si>
  <si>
    <t>Motor driver</t>
  </si>
  <si>
    <t>Cytron MD20A</t>
  </si>
  <si>
    <t>https://botland.de/motortreiber-module/14000-cytron-md20a-einkanaltreiber-fur-30v-20a-motoren-5904422342326.html</t>
  </si>
  <si>
    <t>Bearing</t>
  </si>
  <si>
    <t>6804-2Z 20x32x7</t>
  </si>
  <si>
    <t>https://www.motedis.com/en/Deep-groove-ball-bearings-6802-2Z-15x24x5</t>
  </si>
  <si>
    <t>6802-2Z 15x24x5</t>
  </si>
  <si>
    <t>https://www.motedis.com/en/Deep-groove-ball-bearings-6804-2Z-20x32x7</t>
  </si>
  <si>
    <t>683-2Z 3x7x3</t>
  </si>
  <si>
    <t>https://www.amazon.de/Kugellager-Kohlenstoffstahl-doppelt-geschirmte-Rillenlager/dp/B0BJKNXH78/</t>
  </si>
  <si>
    <t>0303 3x4.5x3</t>
  </si>
  <si>
    <t>https://www.diehr-rabenstein.de/Gleitlager-0303-3-x-4-5-x-3-mm-wartungsfrei-ohne-Bund/652301</t>
  </si>
  <si>
    <t>0306 3x4.5x6</t>
  </si>
  <si>
    <t>https://www.diehr-rabenstein.de/Gleitlager-0306-3-x-4-5-x-6-mm-wartungsfrei-ohne-Bund/652304</t>
  </si>
  <si>
    <t>Screw</t>
  </si>
  <si>
    <t>https://www.motedis.com/de/Zylinderschraube-mit-Innensechskant-nach-DIN-912</t>
  </si>
  <si>
    <t>M3x25</t>
  </si>
  <si>
    <t>M3x45</t>
  </si>
  <si>
    <t>https://www.amazon.de/Stück-Zylinderschrauben-M3x45-Innensechskant-Zylinderkopfschrauben/dp/B07KYB8236/</t>
  </si>
  <si>
    <t>M4x12</t>
  </si>
  <si>
    <t>Nut</t>
  </si>
  <si>
    <t>https://www.motedis.com/de/Mutter-DIN-934</t>
  </si>
  <si>
    <t>Locknut</t>
  </si>
  <si>
    <t>https://www.motedis.com/de/Mutter-DIN-985</t>
  </si>
  <si>
    <t>M4</t>
  </si>
  <si>
    <t>Threaded insert</t>
  </si>
  <si>
    <t>https://www.ruthex.de/collections/gewindeeinsatze/products/ruthex-gewindeeinsatz-m3-100-stuck-rx-m3x5-7-messing-gewindebuchsen</t>
  </si>
  <si>
    <t>Cylinder pin</t>
  </si>
  <si>
    <t>3x60</t>
  </si>
  <si>
    <t>3x30</t>
  </si>
  <si>
    <t>3x16</t>
  </si>
  <si>
    <t>3x8</t>
  </si>
  <si>
    <t>https://www.amazon.de/QUARKZMAN-Zylinderstifte-Dübelstifte-Metallstifte-Bastelprojekte/dp/B0FGJRSMZ2/</t>
  </si>
  <si>
    <t>https://www.amazon.de/QUARKZMAN-Zylinderstifte-Metallstifte-Dübelstifte-Bastelprojekte/dp/B0FGJNN69D/</t>
  </si>
  <si>
    <t>https://www.amazon.de/QUARKZMAN-Zylinderstifte-D%C3%BCbelstifte-Metallstifte-Bastelprojekte/dp/B0FGJRSMZ2/</t>
  </si>
  <si>
    <t>Prusament PETG 1kg</t>
  </si>
  <si>
    <t>TPU 64D 750g</t>
  </si>
  <si>
    <t>https://www.reichelt.de/de/de/shop/produkt/filament_tpu_64d_schwarz_1_75_mm_750_g-420172</t>
  </si>
  <si>
    <t>Spring, front</t>
  </si>
  <si>
    <t>0X-DF1957 40.6mm 3.521 N/mm</t>
  </si>
  <si>
    <t>Spring, rear</t>
  </si>
  <si>
    <t>0X-DF1956 35mm 5.281 N/mm</t>
  </si>
  <si>
    <t>https://www.febrotec.de/de-DE/druckfedern/schraubendruckfedern/0x-df1956/</t>
  </si>
  <si>
    <t>https://www.febrotec.de/de-DE/druckfedern/schraubendruckfedern/0x-df1957/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</si>
</sst>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1" xfId="0" applyBorder="1"/>
    <xf numFmtId="0" fontId="0" fillId="0" borderId="2" xfId="0" applyBorder="1"/>
    <xf numFmtId="0" fontId="2" fillId="0" borderId="3" xfId="1" applyBorder="1"/>
    <xf numFmtId="0" fontId="0" fillId="0" borderId="3" xfId="0" applyBorder="1"/>
    <xf numFmtId="0" fontId="1" fillId="0" borderId="0" xfId="0" applyFont="1" applyAlignment="1"/>
    <xf numFmtId="0" fontId="1" fillId="0" borderId="4" xfId="0" applyFont="1" applyBorder="1" applyAlignment="1"/>
    <xf numFmtId="0" fontId="0" fillId="0" borderId="4" xfId="0" applyBorder="1"/>
    <xf numFmtId="0" fontId="1" fillId="0" borderId="4" xfId="0" applyFont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tedis.com/de/Zylinderschraube-mit-Innensechskant-nach-DIN-9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FAD0B-964F-4276-AC32-7B13E3F7BAB5}">
  <dimension ref="A1:J38"/>
  <sheetViews>
    <sheetView tabSelected="1" workbookViewId="0">
      <selection activeCell="H42" sqref="H42"/>
    </sheetView>
  </sheetViews>
  <sheetFormatPr baseColWidth="10" defaultRowHeight="15" x14ac:dyDescent="0.25"/>
  <cols>
    <col min="1" max="1" width="15.7109375" bestFit="1" customWidth="1"/>
    <col min="2" max="2" width="38" bestFit="1" customWidth="1"/>
    <col min="3" max="3" width="15.28515625" bestFit="1" customWidth="1"/>
    <col min="4" max="4" width="14.42578125" bestFit="1" customWidth="1"/>
    <col min="5" max="5" width="14.28515625" bestFit="1" customWidth="1"/>
    <col min="6" max="6" width="13.7109375" bestFit="1" customWidth="1"/>
    <col min="7" max="7" width="15.140625" bestFit="1" customWidth="1"/>
    <col min="8" max="8" width="12" bestFit="1" customWidth="1"/>
    <col min="9" max="9" width="9.85546875" bestFit="1" customWidth="1"/>
  </cols>
  <sheetData>
    <row r="1" spans="1:10" x14ac:dyDescent="0.25">
      <c r="A1" s="2" t="s">
        <v>0</v>
      </c>
      <c r="B1" s="3" t="s">
        <v>1</v>
      </c>
      <c r="C1" s="3" t="s">
        <v>9</v>
      </c>
      <c r="D1" s="3" t="s">
        <v>10</v>
      </c>
      <c r="E1" s="3" t="s">
        <v>11</v>
      </c>
      <c r="F1" s="3" t="s">
        <v>7</v>
      </c>
      <c r="G1" s="3" t="s">
        <v>2</v>
      </c>
      <c r="H1" s="3" t="s">
        <v>8</v>
      </c>
      <c r="I1" s="3" t="s">
        <v>3</v>
      </c>
      <c r="J1" s="4" t="s">
        <v>4</v>
      </c>
    </row>
    <row r="2" spans="1:10" x14ac:dyDescent="0.25">
      <c r="A2" s="5" t="s">
        <v>5</v>
      </c>
      <c r="B2" s="6" t="s">
        <v>24</v>
      </c>
      <c r="C2" s="6">
        <v>1</v>
      </c>
      <c r="D2" s="6">
        <v>1</v>
      </c>
      <c r="E2" s="6">
        <v>1</v>
      </c>
      <c r="F2" s="6">
        <v>13.99</v>
      </c>
      <c r="G2" s="6">
        <f>F2/D2</f>
        <v>13.99</v>
      </c>
      <c r="H2" s="6">
        <f t="shared" ref="H2:H15" si="0">C2*G2</f>
        <v>13.99</v>
      </c>
      <c r="I2" s="6">
        <f>E2*F2</f>
        <v>13.99</v>
      </c>
      <c r="J2" s="7" t="s">
        <v>25</v>
      </c>
    </row>
    <row r="3" spans="1:10" x14ac:dyDescent="0.25">
      <c r="A3" s="5" t="s">
        <v>6</v>
      </c>
      <c r="B3" s="6" t="s">
        <v>26</v>
      </c>
      <c r="C3" s="6">
        <v>1</v>
      </c>
      <c r="D3" s="6">
        <v>1</v>
      </c>
      <c r="E3" s="6">
        <v>1</v>
      </c>
      <c r="F3" s="6">
        <v>21.99</v>
      </c>
      <c r="G3" s="6">
        <f t="shared" ref="G3:G15" si="1">F3/D3</f>
        <v>21.99</v>
      </c>
      <c r="H3" s="6">
        <f t="shared" si="0"/>
        <v>21.99</v>
      </c>
      <c r="I3" s="6">
        <f t="shared" ref="I3:I15" si="2">E3*F3</f>
        <v>21.99</v>
      </c>
      <c r="J3" s="8" t="s">
        <v>30</v>
      </c>
    </row>
    <row r="4" spans="1:10" x14ac:dyDescent="0.25">
      <c r="A4" s="5" t="s">
        <v>27</v>
      </c>
      <c r="B4" s="6" t="s">
        <v>28</v>
      </c>
      <c r="C4" s="6">
        <v>1</v>
      </c>
      <c r="D4" s="6">
        <v>1</v>
      </c>
      <c r="E4" s="6">
        <v>1</v>
      </c>
      <c r="F4" s="6">
        <v>17.899999999999999</v>
      </c>
      <c r="G4" s="6">
        <f t="shared" si="1"/>
        <v>17.899999999999999</v>
      </c>
      <c r="H4" s="6">
        <f t="shared" si="0"/>
        <v>17.899999999999999</v>
      </c>
      <c r="I4" s="6">
        <f t="shared" si="2"/>
        <v>17.899999999999999</v>
      </c>
      <c r="J4" s="8" t="s">
        <v>29</v>
      </c>
    </row>
    <row r="5" spans="1:10" x14ac:dyDescent="0.25">
      <c r="A5" s="5" t="s">
        <v>31</v>
      </c>
      <c r="B5" s="6" t="s">
        <v>32</v>
      </c>
      <c r="C5" s="6">
        <v>1</v>
      </c>
      <c r="D5" s="6">
        <v>2</v>
      </c>
      <c r="E5" s="6">
        <v>1</v>
      </c>
      <c r="F5" s="6">
        <v>6.99</v>
      </c>
      <c r="G5" s="6">
        <f t="shared" si="1"/>
        <v>3.4950000000000001</v>
      </c>
      <c r="H5" s="6">
        <f t="shared" si="0"/>
        <v>3.4950000000000001</v>
      </c>
      <c r="I5" s="6">
        <f t="shared" si="2"/>
        <v>6.99</v>
      </c>
      <c r="J5" s="7" t="s">
        <v>33</v>
      </c>
    </row>
    <row r="6" spans="1:10" x14ac:dyDescent="0.25">
      <c r="A6" s="5" t="s">
        <v>34</v>
      </c>
      <c r="B6" s="6" t="s">
        <v>35</v>
      </c>
      <c r="C6" s="6">
        <v>4</v>
      </c>
      <c r="D6" s="6">
        <v>4</v>
      </c>
      <c r="E6" s="6">
        <v>1</v>
      </c>
      <c r="F6" s="6">
        <v>17.989999999999998</v>
      </c>
      <c r="G6" s="6">
        <f t="shared" si="1"/>
        <v>4.4974999999999996</v>
      </c>
      <c r="H6" s="6">
        <f t="shared" si="0"/>
        <v>17.989999999999998</v>
      </c>
      <c r="I6" s="6">
        <f t="shared" si="2"/>
        <v>17.989999999999998</v>
      </c>
      <c r="J6" s="8" t="s">
        <v>36</v>
      </c>
    </row>
    <row r="7" spans="1:10" x14ac:dyDescent="0.25">
      <c r="A7" s="5" t="s">
        <v>37</v>
      </c>
      <c r="B7" s="6" t="s">
        <v>38</v>
      </c>
      <c r="C7" s="6">
        <v>1</v>
      </c>
      <c r="D7" s="6">
        <v>1</v>
      </c>
      <c r="E7" s="6">
        <v>1</v>
      </c>
      <c r="F7" s="6">
        <v>21.9</v>
      </c>
      <c r="G7" s="6">
        <f t="shared" si="1"/>
        <v>21.9</v>
      </c>
      <c r="H7" s="6">
        <f t="shared" si="0"/>
        <v>21.9</v>
      </c>
      <c r="I7" s="6">
        <f t="shared" si="2"/>
        <v>21.9</v>
      </c>
      <c r="J7" s="8" t="s">
        <v>39</v>
      </c>
    </row>
    <row r="8" spans="1:10" x14ac:dyDescent="0.25">
      <c r="A8" s="5" t="s">
        <v>40</v>
      </c>
      <c r="B8" s="6" t="s">
        <v>41</v>
      </c>
      <c r="C8" s="6">
        <v>2</v>
      </c>
      <c r="D8" s="6">
        <v>2</v>
      </c>
      <c r="E8" s="6">
        <v>1</v>
      </c>
      <c r="F8" s="6">
        <v>1.32</v>
      </c>
      <c r="G8" s="6">
        <f t="shared" si="1"/>
        <v>0.66</v>
      </c>
      <c r="H8" s="6">
        <f t="shared" si="0"/>
        <v>1.32</v>
      </c>
      <c r="I8" s="6">
        <f t="shared" si="2"/>
        <v>1.32</v>
      </c>
      <c r="J8" s="8" t="s">
        <v>44</v>
      </c>
    </row>
    <row r="9" spans="1:10" x14ac:dyDescent="0.25">
      <c r="A9" s="5" t="s">
        <v>40</v>
      </c>
      <c r="B9" s="6" t="s">
        <v>43</v>
      </c>
      <c r="C9" s="6">
        <v>6</v>
      </c>
      <c r="D9" s="6">
        <v>6</v>
      </c>
      <c r="E9" s="6">
        <v>1</v>
      </c>
      <c r="F9" s="6">
        <v>3.46</v>
      </c>
      <c r="G9" s="6">
        <f t="shared" si="1"/>
        <v>0.57666666666666666</v>
      </c>
      <c r="H9" s="6">
        <f t="shared" si="0"/>
        <v>3.46</v>
      </c>
      <c r="I9" s="6">
        <f t="shared" si="2"/>
        <v>3.46</v>
      </c>
      <c r="J9" s="7" t="s">
        <v>42</v>
      </c>
    </row>
    <row r="10" spans="1:10" x14ac:dyDescent="0.25">
      <c r="A10" s="5" t="s">
        <v>40</v>
      </c>
      <c r="B10" s="6" t="s">
        <v>45</v>
      </c>
      <c r="C10" s="6">
        <v>9</v>
      </c>
      <c r="D10" s="6">
        <v>10</v>
      </c>
      <c r="E10" s="6">
        <v>1</v>
      </c>
      <c r="F10" s="6">
        <v>4.1900000000000004</v>
      </c>
      <c r="G10" s="6">
        <f t="shared" si="1"/>
        <v>0.41900000000000004</v>
      </c>
      <c r="H10" s="6">
        <f t="shared" si="0"/>
        <v>3.7710000000000004</v>
      </c>
      <c r="I10" s="6">
        <f t="shared" si="2"/>
        <v>4.1900000000000004</v>
      </c>
      <c r="J10" s="7" t="s">
        <v>46</v>
      </c>
    </row>
    <row r="11" spans="1:10" x14ac:dyDescent="0.25">
      <c r="A11" s="5" t="s">
        <v>40</v>
      </c>
      <c r="B11" s="6" t="s">
        <v>47</v>
      </c>
      <c r="C11" s="6">
        <v>8</v>
      </c>
      <c r="D11" s="6">
        <v>1</v>
      </c>
      <c r="E11" s="6">
        <v>8</v>
      </c>
      <c r="F11" s="6">
        <v>0.25</v>
      </c>
      <c r="G11" s="6">
        <f t="shared" si="1"/>
        <v>0.25</v>
      </c>
      <c r="H11" s="6">
        <f t="shared" si="0"/>
        <v>2</v>
      </c>
      <c r="I11" s="6">
        <f t="shared" si="2"/>
        <v>2</v>
      </c>
      <c r="J11" s="8" t="s">
        <v>48</v>
      </c>
    </row>
    <row r="12" spans="1:10" x14ac:dyDescent="0.25">
      <c r="A12" s="5" t="s">
        <v>40</v>
      </c>
      <c r="B12" s="6" t="s">
        <v>49</v>
      </c>
      <c r="C12" s="6">
        <v>4</v>
      </c>
      <c r="D12" s="6">
        <v>1</v>
      </c>
      <c r="E12" s="6">
        <v>4</v>
      </c>
      <c r="F12" s="6">
        <v>0.3</v>
      </c>
      <c r="G12" s="6">
        <f t="shared" si="1"/>
        <v>0.3</v>
      </c>
      <c r="H12" s="6">
        <f t="shared" si="0"/>
        <v>1.2</v>
      </c>
      <c r="I12" s="6">
        <f t="shared" si="2"/>
        <v>1.2</v>
      </c>
      <c r="J12" s="7" t="s">
        <v>50</v>
      </c>
    </row>
    <row r="13" spans="1:10" x14ac:dyDescent="0.25">
      <c r="A13" s="5" t="s">
        <v>51</v>
      </c>
      <c r="B13" s="6" t="s">
        <v>14</v>
      </c>
      <c r="C13" s="6">
        <v>33</v>
      </c>
      <c r="D13" s="6">
        <v>33</v>
      </c>
      <c r="E13" s="6">
        <v>1</v>
      </c>
      <c r="F13" s="6">
        <v>1.33</v>
      </c>
      <c r="G13" s="6">
        <f t="shared" si="1"/>
        <v>4.0303030303030306E-2</v>
      </c>
      <c r="H13" s="6">
        <f t="shared" si="0"/>
        <v>1.33</v>
      </c>
      <c r="I13" s="6">
        <f t="shared" si="2"/>
        <v>1.33</v>
      </c>
      <c r="J13" s="8" t="s">
        <v>52</v>
      </c>
    </row>
    <row r="14" spans="1:10" x14ac:dyDescent="0.25">
      <c r="A14" s="5" t="s">
        <v>51</v>
      </c>
      <c r="B14" s="6" t="s">
        <v>16</v>
      </c>
      <c r="C14" s="6">
        <v>6</v>
      </c>
      <c r="D14" s="6">
        <v>6</v>
      </c>
      <c r="E14" s="6">
        <v>1</v>
      </c>
      <c r="F14" s="6">
        <v>0.46</v>
      </c>
      <c r="G14" s="6">
        <f t="shared" si="1"/>
        <v>7.6666666666666675E-2</v>
      </c>
      <c r="H14" s="6">
        <f t="shared" si="0"/>
        <v>0.46000000000000008</v>
      </c>
      <c r="I14" s="6">
        <f t="shared" si="2"/>
        <v>0.46</v>
      </c>
      <c r="J14" s="8" t="s">
        <v>52</v>
      </c>
    </row>
    <row r="15" spans="1:10" x14ac:dyDescent="0.25">
      <c r="A15" s="5" t="s">
        <v>51</v>
      </c>
      <c r="B15" s="6" t="s">
        <v>17</v>
      </c>
      <c r="C15" s="6">
        <v>4</v>
      </c>
      <c r="D15" s="6">
        <v>4</v>
      </c>
      <c r="E15" s="6">
        <v>1</v>
      </c>
      <c r="F15" s="6">
        <v>0.4</v>
      </c>
      <c r="G15" s="6">
        <f t="shared" si="1"/>
        <v>0.1</v>
      </c>
      <c r="H15" s="6">
        <f t="shared" si="0"/>
        <v>0.4</v>
      </c>
      <c r="I15" s="6">
        <f t="shared" si="2"/>
        <v>0.4</v>
      </c>
      <c r="J15" s="8" t="s">
        <v>52</v>
      </c>
    </row>
    <row r="16" spans="1:10" x14ac:dyDescent="0.25">
      <c r="A16" s="5" t="s">
        <v>51</v>
      </c>
      <c r="B16" s="6" t="s">
        <v>18</v>
      </c>
      <c r="C16" s="6">
        <v>25</v>
      </c>
      <c r="D16" s="6">
        <v>25</v>
      </c>
      <c r="E16" s="6">
        <v>1</v>
      </c>
      <c r="F16" s="6">
        <v>1.08</v>
      </c>
      <c r="G16" s="6">
        <f t="shared" ref="G16:G32" si="3">F16/D16</f>
        <v>4.3200000000000002E-2</v>
      </c>
      <c r="H16" s="6">
        <f t="shared" ref="H16:H32" si="4">C16*G16</f>
        <v>1.08</v>
      </c>
      <c r="I16" s="6">
        <f t="shared" ref="I16:I32" si="5">E16*F16</f>
        <v>1.08</v>
      </c>
      <c r="J16" s="8" t="s">
        <v>52</v>
      </c>
    </row>
    <row r="17" spans="1:10" x14ac:dyDescent="0.25">
      <c r="A17" s="5" t="s">
        <v>51</v>
      </c>
      <c r="B17" s="6" t="s">
        <v>53</v>
      </c>
      <c r="C17" s="6">
        <v>6</v>
      </c>
      <c r="D17" s="6">
        <v>6</v>
      </c>
      <c r="E17" s="6">
        <v>1</v>
      </c>
      <c r="F17" s="6">
        <v>0.59</v>
      </c>
      <c r="G17" s="6">
        <f t="shared" si="3"/>
        <v>9.8333333333333328E-2</v>
      </c>
      <c r="H17" s="6">
        <f t="shared" si="4"/>
        <v>0.59</v>
      </c>
      <c r="I17" s="6">
        <f t="shared" si="5"/>
        <v>0.59</v>
      </c>
      <c r="J17" s="8" t="s">
        <v>52</v>
      </c>
    </row>
    <row r="18" spans="1:10" x14ac:dyDescent="0.25">
      <c r="A18" s="5" t="s">
        <v>51</v>
      </c>
      <c r="B18" s="6" t="s">
        <v>19</v>
      </c>
      <c r="C18" s="6">
        <v>23</v>
      </c>
      <c r="D18" s="6">
        <v>23</v>
      </c>
      <c r="E18" s="6">
        <v>1</v>
      </c>
      <c r="F18" s="6">
        <v>1.51</v>
      </c>
      <c r="G18" s="6">
        <f t="shared" si="3"/>
        <v>6.5652173913043482E-2</v>
      </c>
      <c r="H18" s="6">
        <f t="shared" si="4"/>
        <v>1.51</v>
      </c>
      <c r="I18" s="6">
        <f t="shared" si="5"/>
        <v>1.51</v>
      </c>
      <c r="J18" s="8" t="s">
        <v>52</v>
      </c>
    </row>
    <row r="19" spans="1:10" x14ac:dyDescent="0.25">
      <c r="A19" s="5" t="s">
        <v>51</v>
      </c>
      <c r="B19" s="6" t="s">
        <v>23</v>
      </c>
      <c r="C19" s="6">
        <v>2</v>
      </c>
      <c r="D19" s="6">
        <v>2</v>
      </c>
      <c r="E19" s="6">
        <v>1</v>
      </c>
      <c r="F19" s="6">
        <v>0.42</v>
      </c>
      <c r="G19" s="6">
        <f t="shared" si="3"/>
        <v>0.21</v>
      </c>
      <c r="H19" s="6">
        <f t="shared" si="4"/>
        <v>0.42</v>
      </c>
      <c r="I19" s="6">
        <f t="shared" si="5"/>
        <v>0.42</v>
      </c>
      <c r="J19" s="8" t="s">
        <v>52</v>
      </c>
    </row>
    <row r="20" spans="1:10" x14ac:dyDescent="0.25">
      <c r="A20" s="5" t="s">
        <v>51</v>
      </c>
      <c r="B20" s="6" t="s">
        <v>54</v>
      </c>
      <c r="C20" s="6">
        <v>6</v>
      </c>
      <c r="D20" s="6">
        <v>50</v>
      </c>
      <c r="E20" s="6">
        <v>1</v>
      </c>
      <c r="F20" s="6">
        <v>7.89</v>
      </c>
      <c r="G20" s="6">
        <f t="shared" si="3"/>
        <v>0.1578</v>
      </c>
      <c r="H20" s="6">
        <f t="shared" si="4"/>
        <v>0.94679999999999997</v>
      </c>
      <c r="I20" s="6">
        <f t="shared" si="5"/>
        <v>7.89</v>
      </c>
      <c r="J20" s="8" t="s">
        <v>55</v>
      </c>
    </row>
    <row r="21" spans="1:10" x14ac:dyDescent="0.25">
      <c r="A21" s="5" t="s">
        <v>57</v>
      </c>
      <c r="B21" s="6" t="s">
        <v>15</v>
      </c>
      <c r="C21" s="6">
        <v>26</v>
      </c>
      <c r="D21" s="6">
        <v>26</v>
      </c>
      <c r="E21" s="6">
        <v>1</v>
      </c>
      <c r="F21" s="6">
        <v>0.83</v>
      </c>
      <c r="G21" s="6">
        <f t="shared" si="3"/>
        <v>3.1923076923076922E-2</v>
      </c>
      <c r="H21" s="6">
        <f t="shared" si="4"/>
        <v>0.83</v>
      </c>
      <c r="I21" s="6">
        <f t="shared" si="5"/>
        <v>0.83</v>
      </c>
      <c r="J21" s="8" t="s">
        <v>58</v>
      </c>
    </row>
    <row r="22" spans="1:10" x14ac:dyDescent="0.25">
      <c r="A22" s="5" t="s">
        <v>59</v>
      </c>
      <c r="B22" s="6" t="s">
        <v>15</v>
      </c>
      <c r="C22" s="6">
        <v>2</v>
      </c>
      <c r="D22" s="6">
        <v>2</v>
      </c>
      <c r="E22" s="6">
        <v>1</v>
      </c>
      <c r="F22" s="6">
        <v>0.31</v>
      </c>
      <c r="G22" s="6">
        <f t="shared" si="3"/>
        <v>0.155</v>
      </c>
      <c r="H22" s="6">
        <f t="shared" si="4"/>
        <v>0.31</v>
      </c>
      <c r="I22" s="6">
        <f t="shared" si="5"/>
        <v>0.31</v>
      </c>
      <c r="J22" s="8" t="s">
        <v>60</v>
      </c>
    </row>
    <row r="23" spans="1:10" x14ac:dyDescent="0.25">
      <c r="A23" s="5" t="s">
        <v>51</v>
      </c>
      <c r="B23" s="6" t="s">
        <v>56</v>
      </c>
      <c r="C23" s="6">
        <v>4</v>
      </c>
      <c r="D23" s="6">
        <v>4</v>
      </c>
      <c r="E23" s="6">
        <v>1</v>
      </c>
      <c r="F23" s="6">
        <v>0.48</v>
      </c>
      <c r="G23" s="6">
        <f t="shared" si="3"/>
        <v>0.12</v>
      </c>
      <c r="H23" s="6">
        <f t="shared" si="4"/>
        <v>0.48</v>
      </c>
      <c r="I23" s="6">
        <f t="shared" si="5"/>
        <v>0.48</v>
      </c>
      <c r="J23" s="7" t="s">
        <v>52</v>
      </c>
    </row>
    <row r="24" spans="1:10" x14ac:dyDescent="0.25">
      <c r="A24" s="5" t="s">
        <v>59</v>
      </c>
      <c r="B24" s="6" t="s">
        <v>61</v>
      </c>
      <c r="C24" s="6">
        <v>4</v>
      </c>
      <c r="D24" s="6">
        <v>4</v>
      </c>
      <c r="E24" s="6">
        <v>1</v>
      </c>
      <c r="F24" s="6">
        <v>0.35</v>
      </c>
      <c r="G24" s="6">
        <f t="shared" si="3"/>
        <v>8.7499999999999994E-2</v>
      </c>
      <c r="H24" s="6">
        <f t="shared" si="4"/>
        <v>0.35</v>
      </c>
      <c r="I24" s="6">
        <f t="shared" si="5"/>
        <v>0.35</v>
      </c>
      <c r="J24" s="8" t="s">
        <v>60</v>
      </c>
    </row>
    <row r="25" spans="1:10" x14ac:dyDescent="0.25">
      <c r="A25" s="5" t="s">
        <v>62</v>
      </c>
      <c r="B25" s="6" t="s">
        <v>15</v>
      </c>
      <c r="C25" s="6">
        <v>76</v>
      </c>
      <c r="D25" s="6">
        <v>100</v>
      </c>
      <c r="E25" s="6">
        <v>1</v>
      </c>
      <c r="F25" s="6">
        <v>8.99</v>
      </c>
      <c r="G25" s="6">
        <f t="shared" si="3"/>
        <v>8.9900000000000008E-2</v>
      </c>
      <c r="H25" s="6">
        <f t="shared" si="4"/>
        <v>6.8324000000000007</v>
      </c>
      <c r="I25" s="6">
        <f t="shared" si="5"/>
        <v>8.99</v>
      </c>
      <c r="J25" s="8" t="s">
        <v>63</v>
      </c>
    </row>
    <row r="26" spans="1:10" x14ac:dyDescent="0.25">
      <c r="A26" s="5" t="s">
        <v>64</v>
      </c>
      <c r="B26" s="6" t="s">
        <v>65</v>
      </c>
      <c r="C26" s="6">
        <v>2</v>
      </c>
      <c r="D26" s="6">
        <v>50</v>
      </c>
      <c r="E26" s="6">
        <v>1</v>
      </c>
      <c r="F26" s="6">
        <v>9.99</v>
      </c>
      <c r="G26" s="6">
        <f t="shared" si="3"/>
        <v>0.19980000000000001</v>
      </c>
      <c r="H26" s="6">
        <f t="shared" si="4"/>
        <v>0.39960000000000001</v>
      </c>
      <c r="I26" s="6">
        <f t="shared" si="5"/>
        <v>9.99</v>
      </c>
      <c r="J26" s="8" t="s">
        <v>70</v>
      </c>
    </row>
    <row r="27" spans="1:10" x14ac:dyDescent="0.25">
      <c r="A27" s="5" t="s">
        <v>64</v>
      </c>
      <c r="B27" s="6" t="s">
        <v>66</v>
      </c>
      <c r="C27" s="6">
        <v>5</v>
      </c>
      <c r="D27" s="6">
        <v>100</v>
      </c>
      <c r="E27" s="6">
        <v>1</v>
      </c>
      <c r="F27" s="6">
        <v>9.49</v>
      </c>
      <c r="G27" s="6">
        <f t="shared" si="3"/>
        <v>9.4899999999999998E-2</v>
      </c>
      <c r="H27" s="6">
        <f t="shared" si="4"/>
        <v>0.47449999999999998</v>
      </c>
      <c r="I27" s="6">
        <f t="shared" si="5"/>
        <v>9.49</v>
      </c>
      <c r="J27" s="8" t="s">
        <v>69</v>
      </c>
    </row>
    <row r="28" spans="1:10" x14ac:dyDescent="0.25">
      <c r="A28" s="5" t="s">
        <v>64</v>
      </c>
      <c r="B28" s="6" t="s">
        <v>67</v>
      </c>
      <c r="C28" s="6">
        <v>6</v>
      </c>
      <c r="D28" s="6">
        <v>100</v>
      </c>
      <c r="E28" s="6">
        <v>1</v>
      </c>
      <c r="F28" s="6">
        <v>7.49</v>
      </c>
      <c r="G28" s="6">
        <f t="shared" si="3"/>
        <v>7.4900000000000008E-2</v>
      </c>
      <c r="H28" s="6">
        <f t="shared" si="4"/>
        <v>0.44940000000000002</v>
      </c>
      <c r="I28" s="6">
        <f t="shared" si="5"/>
        <v>7.49</v>
      </c>
      <c r="J28" s="8" t="s">
        <v>71</v>
      </c>
    </row>
    <row r="29" spans="1:10" x14ac:dyDescent="0.25">
      <c r="A29" s="5" t="s">
        <v>64</v>
      </c>
      <c r="B29" s="6" t="s">
        <v>68</v>
      </c>
      <c r="C29" s="6">
        <v>8</v>
      </c>
      <c r="D29" s="6">
        <v>100</v>
      </c>
      <c r="E29" s="6">
        <v>1</v>
      </c>
      <c r="F29" s="6">
        <v>6.09</v>
      </c>
      <c r="G29" s="6">
        <f t="shared" si="3"/>
        <v>6.0899999999999996E-2</v>
      </c>
      <c r="H29" s="6">
        <f t="shared" si="4"/>
        <v>0.48719999999999997</v>
      </c>
      <c r="I29" s="6">
        <f t="shared" si="5"/>
        <v>6.09</v>
      </c>
      <c r="J29" s="8" t="s">
        <v>71</v>
      </c>
    </row>
    <row r="30" spans="1:10" x14ac:dyDescent="0.25">
      <c r="A30" s="5" t="s">
        <v>12</v>
      </c>
      <c r="B30" s="6" t="s">
        <v>72</v>
      </c>
      <c r="C30" s="6">
        <v>0.75</v>
      </c>
      <c r="D30" s="6">
        <v>1</v>
      </c>
      <c r="E30" s="6">
        <v>1</v>
      </c>
      <c r="F30" s="6">
        <v>24.99</v>
      </c>
      <c r="G30" s="6">
        <f t="shared" si="3"/>
        <v>24.99</v>
      </c>
      <c r="H30" s="6">
        <f t="shared" si="4"/>
        <v>18.7425</v>
      </c>
      <c r="I30" s="6">
        <f t="shared" si="5"/>
        <v>24.99</v>
      </c>
      <c r="J30" s="8" t="s">
        <v>13</v>
      </c>
    </row>
    <row r="31" spans="1:10" x14ac:dyDescent="0.25">
      <c r="A31" s="5" t="s">
        <v>12</v>
      </c>
      <c r="B31" s="6" t="s">
        <v>73</v>
      </c>
      <c r="C31" s="6">
        <v>0.15</v>
      </c>
      <c r="D31" s="6">
        <v>0.75</v>
      </c>
      <c r="E31" s="6">
        <v>1</v>
      </c>
      <c r="F31" s="6">
        <v>35.950000000000003</v>
      </c>
      <c r="G31" s="6">
        <f t="shared" si="3"/>
        <v>47.933333333333337</v>
      </c>
      <c r="H31" s="6">
        <f t="shared" si="4"/>
        <v>7.19</v>
      </c>
      <c r="I31" s="6">
        <f t="shared" si="5"/>
        <v>35.950000000000003</v>
      </c>
      <c r="J31" s="8" t="s">
        <v>74</v>
      </c>
    </row>
    <row r="32" spans="1:10" x14ac:dyDescent="0.25">
      <c r="A32" s="5" t="s">
        <v>75</v>
      </c>
      <c r="B32" s="6" t="s">
        <v>78</v>
      </c>
      <c r="C32" s="6">
        <v>2</v>
      </c>
      <c r="D32" s="6">
        <v>1</v>
      </c>
      <c r="E32" s="6">
        <v>2</v>
      </c>
      <c r="F32" s="6">
        <v>3.56</v>
      </c>
      <c r="G32" s="6">
        <f t="shared" si="3"/>
        <v>3.56</v>
      </c>
      <c r="H32" s="6">
        <f t="shared" si="4"/>
        <v>7.12</v>
      </c>
      <c r="I32" s="6">
        <f t="shared" si="5"/>
        <v>7.12</v>
      </c>
      <c r="J32" s="8" t="s">
        <v>79</v>
      </c>
    </row>
    <row r="33" spans="1:10" x14ac:dyDescent="0.25">
      <c r="A33" s="5" t="s">
        <v>77</v>
      </c>
      <c r="B33" s="6" t="s">
        <v>76</v>
      </c>
      <c r="C33" s="6">
        <v>2</v>
      </c>
      <c r="D33" s="6">
        <v>1</v>
      </c>
      <c r="E33" s="6">
        <v>2</v>
      </c>
      <c r="F33" s="6">
        <v>3.56</v>
      </c>
      <c r="G33" s="6">
        <f t="shared" ref="G33" si="6">F33/D33</f>
        <v>3.56</v>
      </c>
      <c r="H33" s="6">
        <f t="shared" ref="H33" si="7">C33*G33</f>
        <v>7.12</v>
      </c>
      <c r="I33" s="6">
        <f t="shared" ref="I33" si="8">E33*F33</f>
        <v>7.12</v>
      </c>
      <c r="J33" s="7" t="s">
        <v>80</v>
      </c>
    </row>
    <row r="34" spans="1:10" x14ac:dyDescent="0.25">
      <c r="J34" s="1"/>
    </row>
    <row r="37" spans="1:10" x14ac:dyDescent="0.25">
      <c r="H37" s="12" t="s">
        <v>21</v>
      </c>
      <c r="I37" s="12" t="s">
        <v>22</v>
      </c>
    </row>
    <row r="38" spans="1:10" x14ac:dyDescent="0.25">
      <c r="B38" s="9"/>
      <c r="C38" s="9"/>
      <c r="D38" s="9"/>
      <c r="E38" s="9"/>
      <c r="F38" s="9"/>
      <c r="G38" s="10" t="s">
        <v>20</v>
      </c>
      <c r="H38" s="11">
        <f>SUM(H2:H35)</f>
        <v>166.5384</v>
      </c>
      <c r="I38" s="11">
        <f>SUM(I2:I35)</f>
        <v>245.81000000000006</v>
      </c>
    </row>
  </sheetData>
  <hyperlinks>
    <hyperlink ref="J23" r:id="rId1" xr:uid="{021D264A-0C2B-4B4C-B4B6-8AF333372F36}"/>
  </hyperlinks>
  <pageMargins left="0.7" right="0.7" top="0.78740157499999996" bottom="0.78740157499999996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Böhm, Thomas</dc:creator>
  <cp:lastModifiedBy>Böhm, Thomas</cp:lastModifiedBy>
  <dcterms:created xsi:type="dcterms:W3CDTF">2025-09-06T12:30:38Z</dcterms:created>
  <dcterms:modified xsi:type="dcterms:W3CDTF">2025-12-12T21:32:08Z</dcterms:modified>
</cp:coreProperties>
</file>